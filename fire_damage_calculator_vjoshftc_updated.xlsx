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ha\Downloads\"/>
    </mc:Choice>
  </mc:AlternateContent>
  <xr:revisionPtr revIDLastSave="0" documentId="13_ncr:1_{C4640F65-865E-4E75-B212-81B186657B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lculator" sheetId="1" r:id="rId1"/>
    <sheet name="Mode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22" i="1" s="1"/>
  <c r="B12" i="1"/>
  <c r="B22" i="1" s="1"/>
  <c r="C11" i="1"/>
  <c r="C21" i="1" s="1"/>
  <c r="B11" i="1"/>
  <c r="B21" i="1" s="1"/>
  <c r="C10" i="1"/>
  <c r="C20" i="1" s="1"/>
  <c r="B10" i="1"/>
  <c r="B20" i="1" s="1"/>
  <c r="C9" i="1"/>
  <c r="B9" i="1"/>
  <c r="B19" i="1" s="1"/>
  <c r="C8" i="1"/>
  <c r="C18" i="1" s="1"/>
  <c r="B8" i="1"/>
  <c r="B18" i="1" s="1"/>
  <c r="C7" i="1"/>
  <c r="C17" i="1" s="1"/>
  <c r="B7" i="1"/>
  <c r="B17" i="1" s="1"/>
</calcChain>
</file>

<file path=xl/sharedStrings.xml><?xml version="1.0" encoding="utf-8"?>
<sst xmlns="http://schemas.openxmlformats.org/spreadsheetml/2006/main" count="356" uniqueCount="163">
  <si>
    <t>FIRE DAMAGE CALCULATOR</t>
  </si>
  <si>
    <t>Type your effective STR below. Include any STR granted by gear.</t>
  </si>
  <si>
    <t>Strength</t>
  </si>
  <si>
    <t>Move</t>
  </si>
  <si>
    <t>Damage</t>
  </si>
  <si>
    <t>Speed / Range</t>
  </si>
  <si>
    <t>Metric</t>
  </si>
  <si>
    <t>Confidence</t>
  </si>
  <si>
    <t>Notes</t>
  </si>
  <si>
    <t>Fireball</t>
  </si>
  <si>
    <t>Speed</t>
  </si>
  <si>
    <t>Table-based</t>
  </si>
  <si>
    <t>Damage uses tested breakpoint table; 378 STR reaches 100</t>
  </si>
  <si>
    <t>Swing Kick</t>
  </si>
  <si>
    <t>Very high</t>
  </si>
  <si>
    <t>Formula also predicts clean 360 and 390 tests exactly</t>
  </si>
  <si>
    <t>Fly Kick</t>
  </si>
  <si>
    <t>Range</t>
  </si>
  <si>
    <t>Very high / provisional</t>
  </si>
  <si>
    <t>Damage validated at 360 &amp; 390; range model still provisional</t>
  </si>
  <si>
    <t>Fire Breathe</t>
  </si>
  <si>
    <t>Damage mapped from clean tests; 365 STR reaches 8 in the tested 300–400 region</t>
  </si>
  <si>
    <t>Sun Blast</t>
  </si>
  <si>
    <t>Formula validated exactly at 360 and 390</t>
  </si>
  <si>
    <t>Sun Barrage</t>
  </si>
  <si>
    <t>Provisional</t>
  </si>
  <si>
    <t>Damage appears to use 5-point display steps; more breakpoint tests needed</t>
  </si>
  <si>
    <t>Fire Fly</t>
  </si>
  <si>
    <t>N/A</t>
  </si>
  <si>
    <t>Duration (sec)</t>
  </si>
  <si>
    <t>Duration uses tested breakpoints; speed observed fixed at 65</t>
  </si>
  <si>
    <t>UPGRADED MOVE VALUES</t>
  </si>
  <si>
    <t>Damage (+20%)</t>
  </si>
  <si>
    <t>Speed (+15%)</t>
  </si>
  <si>
    <t>FIREBALL BREAKPOINT TABLE</t>
  </si>
  <si>
    <t>Confirmed thresholds are green. Yellow rows are placeholders you can replace when tested.</t>
  </si>
  <si>
    <t>SEQUENTIAL TESTING NOTE: Above 400 STR, when the next reported STR was higher, all skipped integer STR values were tested and showed no change from the previous reported value.</t>
  </si>
  <si>
    <t>Minimum STR</t>
  </si>
  <si>
    <t>Fireball Damage</t>
  </si>
  <si>
    <t>Status</t>
  </si>
  <si>
    <t>Basis</t>
  </si>
  <si>
    <t>Current model</t>
  </si>
  <si>
    <t>Observations used</t>
  </si>
  <si>
    <t>STR</t>
  </si>
  <si>
    <t>Damage / Value</t>
  </si>
  <si>
    <t>Secondary</t>
  </si>
  <si>
    <t>STR range</t>
  </si>
  <si>
    <t>Value</t>
  </si>
  <si>
    <t>Interpretation</t>
  </si>
  <si>
    <t>Confirmed</t>
  </si>
  <si>
    <t>0 STR = 10</t>
  </si>
  <si>
    <t>Universal attack speed</t>
  </si>
  <si>
    <t>ROUND(130 + 0.30×STR)</t>
  </si>
  <si>
    <t>275→212, 300→220, 350→235, 360→238, 364→239, 374→242, 376/377→243, 385→246, 390→247, 400→250, 411→253, 412/413→254, 415→255, 419/420→256, 422→257, 425→258</t>
  </si>
  <si>
    <t>Range 27</t>
  </si>
  <si>
    <t>Move speed</t>
  </si>
  <si>
    <t>411</t>
  </si>
  <si>
    <t>Observed at 411</t>
  </si>
  <si>
    <t>Confirmed value</t>
  </si>
  <si>
    <t>25 and 50 STR = 20; exact first threshold unknown</t>
  </si>
  <si>
    <t>Swing Kick damage</t>
  </si>
  <si>
    <t>ROUND(10 + 0.21×STR)</t>
  </si>
  <si>
    <t>275→68, 300→73, 350→84, 360/364→86, 385→91, 390→92, 400→94, 411→96, 412/413→97, 419→98, 422/425→99</t>
  </si>
  <si>
    <t>Speed 212</t>
  </si>
  <si>
    <t>412-413</t>
  </si>
  <si>
    <t>No change through 413</t>
  </si>
  <si>
    <t>68 STR = 30</t>
  </si>
  <si>
    <t>Fly Kick damage</t>
  </si>
  <si>
    <t>ROUND(20 + 0.13×STR)</t>
  </si>
  <si>
    <t>275→56, 300→59, 325→62, 350→66, 360/364/365→67, 374/375→69, 385→70, 390→71, 400→72, 412/413→74, 420/425→75</t>
  </si>
  <si>
    <t>414-415</t>
  </si>
  <si>
    <t>Next reported change at 415</t>
  </si>
  <si>
    <t>113 STR = 40</t>
  </si>
  <si>
    <t>Fly Kick range</t>
  </si>
  <si>
    <t>Table/breakpoints preferred</t>
  </si>
  <si>
    <t>High</t>
  </si>
  <si>
    <t>275→27, 300→28, 325→29, 350→29, 360/364/365/374/375→30, 385/390/400/412/413→31, 419→32</t>
  </si>
  <si>
    <t>416-420</t>
  </si>
  <si>
    <t>419 reported 256; 420 also confirmed 256</t>
  </si>
  <si>
    <t>300, 310, 315, 320, 324, 325 STR = 80</t>
  </si>
  <si>
    <t>Fire Breathe damage</t>
  </si>
  <si>
    <t>300→6, 325/350/360→7, 365/375/378/385/390/400/412/413→8, 419/425→9</t>
  </si>
  <si>
    <t>Speed 220</t>
  </si>
  <si>
    <t>421-422</t>
  </si>
  <si>
    <t>Next reported change at 422</t>
  </si>
  <si>
    <t>350, 360, 365, 374, 375, 376, 377 STR = 90</t>
  </si>
  <si>
    <t>Sun Blast damage</t>
  </si>
  <si>
    <t>ROUND(15 + 0.30×STR)</t>
  </si>
  <si>
    <t>275→97, 300→105, 350→120, 360→123, 364→124, 385→131, 390→132, 400→135, 411→138, 412/413→139, 415→140, 419→141, 422→142, 425→143</t>
  </si>
  <si>
    <t>423-424</t>
  </si>
  <si>
    <t>No reported change before 425</t>
  </si>
  <si>
    <t>Confirmed breakpoint</t>
  </si>
  <si>
    <t>377 = 90; 378 = 100</t>
  </si>
  <si>
    <t>Sun Barrage damage</t>
  </si>
  <si>
    <t>Breakpoint/table based</t>
  </si>
  <si>
    <t>275→40, 300→45, 350/360/364→50, 385/390/400/411/412/413/415/419/422→55; 425→160 reported (flagged anomaly)</t>
  </si>
  <si>
    <t>Range 28</t>
  </si>
  <si>
    <t>425</t>
  </si>
  <si>
    <t>Changed at 425</t>
  </si>
  <si>
    <t>420-422 = 100; 423 = 110</t>
  </si>
  <si>
    <t>Fire Fly duration</t>
  </si>
  <si>
    <t>ROUND(STR/14 + 1.5)</t>
  </si>
  <si>
    <t>Working formula</t>
  </si>
  <si>
    <t>Matches clean tests: 360→27, 365→28, 374/375→28, 378/379→29, 385→29, 400→30</t>
  </si>
  <si>
    <t>Fireball damage</t>
  </si>
  <si>
    <t>411-424</t>
  </si>
  <si>
    <t>No reported damage change until 425</t>
  </si>
  <si>
    <t>Fire Fly speed</t>
  </si>
  <si>
    <t>65</t>
  </si>
  <si>
    <t>350→65, 360→65, 385→65; 400 speed not yet recorded</t>
  </si>
  <si>
    <t>411-422</t>
  </si>
  <si>
    <t>No change through 422; changed at 423</t>
  </si>
  <si>
    <t>423-425</t>
  </si>
  <si>
    <t>423 confirmed at 110; remained 110 through 425</t>
  </si>
  <si>
    <t>412-418</t>
  </si>
  <si>
    <t>No change reported until 419</t>
  </si>
  <si>
    <t>Range 29</t>
  </si>
  <si>
    <t>419-421</t>
  </si>
  <si>
    <t>No change reported until 422</t>
  </si>
  <si>
    <t>422-425</t>
  </si>
  <si>
    <t>No later change reported through 425</t>
  </si>
  <si>
    <t>Speed 235</t>
  </si>
  <si>
    <t>419-424</t>
  </si>
  <si>
    <t>No later change reported before 425</t>
  </si>
  <si>
    <t>Still 9</t>
  </si>
  <si>
    <t>Fire Breathe min STR</t>
  </si>
  <si>
    <t>Fire Fly min STR</t>
  </si>
  <si>
    <t>Duration</t>
  </si>
  <si>
    <t>412-414</t>
  </si>
  <si>
    <t>No change until 415</t>
  </si>
  <si>
    <t>415-418</t>
  </si>
  <si>
    <t>No change until 419</t>
  </si>
  <si>
    <t>No change until 422</t>
  </si>
  <si>
    <t>422-424</t>
  </si>
  <si>
    <t>No change until 425</t>
  </si>
  <si>
    <t>Speed 65</t>
  </si>
  <si>
    <t>No change reported until 425</t>
  </si>
  <si>
    <t>Speed 238; max duration 8</t>
  </si>
  <si>
    <t>Reported jump; still flagged for verification</t>
  </si>
  <si>
    <t>Speed 238</t>
  </si>
  <si>
    <t>423</t>
  </si>
  <si>
    <t>Directly confirmed breakpoint</t>
  </si>
  <si>
    <t>Speed 239</t>
  </si>
  <si>
    <t>Range 30</t>
  </si>
  <si>
    <t>Speed 242</t>
  </si>
  <si>
    <t>Speed 243</t>
  </si>
  <si>
    <t>Speed 246</t>
  </si>
  <si>
    <t>Range 31</t>
  </si>
  <si>
    <t>Max duration 9</t>
  </si>
  <si>
    <t>Speed 247</t>
  </si>
  <si>
    <t>Speed 247; max duration 9</t>
  </si>
  <si>
    <t>Speed 250</t>
  </si>
  <si>
    <t>Duration; speed not recorded</t>
  </si>
  <si>
    <t>Speed 253</t>
  </si>
  <si>
    <t>User dictated 17 initially; likely transcription issue</t>
  </si>
  <si>
    <t>Speed 254</t>
  </si>
  <si>
    <t>Speed 255</t>
  </si>
  <si>
    <t>Speed 256</t>
  </si>
  <si>
    <t>Range 32</t>
  </si>
  <si>
    <t>Speed 257</t>
  </si>
  <si>
    <t>Speed 258</t>
  </si>
  <si>
    <t>Reported value; large jump vs 422, verify</t>
  </si>
  <si>
    <t>Provisional outputs are based on the clean tests collected so far. Edit the Model Data sheet as more exact values are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</si>
</sst>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20"/>
      <name val="Carlito"/>
    </font>
    <font>
      <i/>
      <sz val="11"/>
      <name val="Carlito"/>
    </font>
    <font>
      <b/>
      <sz val="13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A64D79"/>
      </patternFill>
    </fill>
    <fill>
      <patternFill patternType="solid">
        <fgColor rgb="FFC65911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548235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7" borderId="0" xfId="0" applyFill="1"/>
    <xf numFmtId="0" fontId="0" fillId="0" borderId="0" xfId="0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2" borderId="4" xfId="0" applyFont="1" applyFill="1" applyBorder="1"/>
    <xf numFmtId="0" fontId="0" fillId="7" borderId="5" xfId="0" applyFill="1" applyBorder="1"/>
    <xf numFmtId="0" fontId="6" fillId="2" borderId="6" xfId="0" applyFont="1" applyFill="1" applyBorder="1"/>
    <xf numFmtId="0" fontId="6" fillId="3" borderId="7" xfId="0" applyFont="1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6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13" borderId="0" xfId="0" applyFont="1" applyFill="1" applyAlignment="1">
      <alignment horizontal="center"/>
    </xf>
    <xf numFmtId="0" fontId="5" fillId="14" borderId="0" xfId="0" applyFont="1" applyFill="1"/>
    <xf numFmtId="0" fontId="5" fillId="15" borderId="0" xfId="0" applyFont="1" applyFill="1"/>
    <xf numFmtId="0" fontId="6" fillId="16" borderId="0" xfId="0" applyFont="1" applyFill="1"/>
    <xf numFmtId="0" fontId="5" fillId="18" borderId="0" xfId="0" applyFont="1" applyFill="1" applyAlignment="1">
      <alignment horizontal="center" wrapText="1"/>
    </xf>
    <xf numFmtId="0" fontId="6" fillId="19" borderId="0" xfId="0" applyFont="1" applyFill="1" applyAlignment="1">
      <alignment wrapText="1"/>
    </xf>
    <xf numFmtId="0" fontId="6" fillId="20" borderId="0" xfId="0" applyFont="1" applyFill="1"/>
    <xf numFmtId="0" fontId="6" fillId="2" borderId="4" xfId="0" applyFont="1" applyFill="1" applyBorder="1" applyAlignment="1">
      <alignment wrapText="1"/>
    </xf>
    <xf numFmtId="0" fontId="6" fillId="3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7" fillId="10" borderId="0" xfId="0" applyFont="1" applyFill="1" applyAlignment="1">
      <alignment horizontal="center"/>
    </xf>
    <xf numFmtId="0" fontId="2" fillId="11" borderId="0" xfId="0" applyFont="1" applyFill="1" applyAlignment="1">
      <alignment wrapText="1"/>
    </xf>
    <xf numFmtId="0" fontId="6" fillId="1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5" sqref="B5"/>
    </sheetView>
  </sheetViews>
  <sheetFormatPr defaultRowHeight="14"/>
  <cols>
    <col min="1" max="1" width="22" customWidth="1"/>
    <col min="2" max="2" width="18" customWidth="1"/>
    <col min="3" max="4" width="20" customWidth="1"/>
    <col min="5" max="6" width="0" hidden="1" customWidth="1"/>
  </cols>
  <sheetData>
    <row r="1" spans="1:6" ht="21.4" customHeight="1">
      <c r="A1" s="44" t="s">
        <v>0</v>
      </c>
      <c r="B1" s="44"/>
      <c r="C1" s="44"/>
      <c r="D1" s="44"/>
      <c r="E1" s="44"/>
      <c r="F1" s="44"/>
    </row>
    <row r="2" spans="1:6" ht="14.5">
      <c r="A2" s="45" t="s">
        <v>1</v>
      </c>
      <c r="B2" s="45"/>
      <c r="C2" s="45"/>
      <c r="D2" s="45"/>
      <c r="E2" s="45"/>
      <c r="F2" s="45"/>
    </row>
    <row r="4" spans="1:6" ht="18">
      <c r="A4" s="1" t="s">
        <v>2</v>
      </c>
      <c r="B4" s="2">
        <v>423</v>
      </c>
    </row>
    <row r="6" spans="1:6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</row>
    <row r="7" spans="1:6">
      <c r="A7" s="41" t="s">
        <v>9</v>
      </c>
      <c r="B7" s="42">
        <f>LOOKUP($B$4,'Model Data'!$A$6:$A$13,'Model Data'!$B$6:$B$13)</f>
        <v>110</v>
      </c>
      <c r="C7" s="42">
        <f>ROUND(130+0.3*$B$4,0)</f>
        <v>257</v>
      </c>
      <c r="D7" s="43" t="s">
        <v>10</v>
      </c>
      <c r="E7" s="4" t="s">
        <v>11</v>
      </c>
      <c r="F7" s="10" t="s">
        <v>12</v>
      </c>
    </row>
    <row r="8" spans="1:6">
      <c r="A8" s="9" t="s">
        <v>13</v>
      </c>
      <c r="B8" s="3">
        <f>ROUND(10+0.21*$B$4,0)</f>
        <v>99</v>
      </c>
      <c r="C8" s="3">
        <f>ROUND(130+0.3*$B$4,0)</f>
        <v>257</v>
      </c>
      <c r="D8" s="4" t="s">
        <v>10</v>
      </c>
      <c r="E8" s="4" t="s">
        <v>14</v>
      </c>
      <c r="F8" s="10" t="s">
        <v>15</v>
      </c>
    </row>
    <row r="9" spans="1:6">
      <c r="A9" s="9" t="s">
        <v>16</v>
      </c>
      <c r="B9" s="3">
        <f>ROUND(20+0.13*$B$4,0)</f>
        <v>75</v>
      </c>
      <c r="C9" s="3">
        <f>ROUND(17.2237+0.035564*$B$4,0)</f>
        <v>32</v>
      </c>
      <c r="D9" s="4" t="s">
        <v>17</v>
      </c>
      <c r="E9" s="4" t="s">
        <v>18</v>
      </c>
      <c r="F9" s="10" t="s">
        <v>19</v>
      </c>
    </row>
    <row r="10" spans="1:6">
      <c r="A10" s="9" t="s">
        <v>20</v>
      </c>
      <c r="B10" s="3">
        <f>LOOKUP($B$4,'Model Data'!$K$24:$K$27,'Model Data'!$L$24:$L$27)</f>
        <v>9</v>
      </c>
      <c r="C10" s="3">
        <f>ROUND(130+0.3*$B$4,0)</f>
        <v>257</v>
      </c>
      <c r="D10" s="4" t="s">
        <v>10</v>
      </c>
      <c r="E10" s="4" t="s">
        <v>11</v>
      </c>
      <c r="F10" s="10" t="s">
        <v>21</v>
      </c>
    </row>
    <row r="11" spans="1:6">
      <c r="A11" s="9" t="s">
        <v>22</v>
      </c>
      <c r="B11" s="3">
        <f>ROUND(15+0.3*$B$4,0)</f>
        <v>142</v>
      </c>
      <c r="C11" s="3">
        <f>ROUND(130+0.3*$B$4,0)</f>
        <v>257</v>
      </c>
      <c r="D11" s="4" t="s">
        <v>10</v>
      </c>
      <c r="E11" s="4" t="s">
        <v>14</v>
      </c>
      <c r="F11" s="10" t="s">
        <v>23</v>
      </c>
    </row>
    <row r="12" spans="1:6">
      <c r="A12" s="9" t="s">
        <v>24</v>
      </c>
      <c r="B12" s="3">
        <f>ROUND((15+0.1*$B$4)/5,0)*5</f>
        <v>55</v>
      </c>
      <c r="C12" s="3">
        <f>ROUND(130+0.3*$B$4,0)</f>
        <v>257</v>
      </c>
      <c r="D12" s="4" t="s">
        <v>10</v>
      </c>
      <c r="E12" s="4" t="s">
        <v>25</v>
      </c>
      <c r="F12" s="10" t="s">
        <v>26</v>
      </c>
    </row>
    <row r="13" spans="1:6">
      <c r="A13" s="11" t="s">
        <v>27</v>
      </c>
      <c r="B13" s="12" t="s">
        <v>28</v>
      </c>
      <c r="C13" s="12">
        <f>ROUND($B$4/14+1.5,0)</f>
        <v>32</v>
      </c>
      <c r="D13" s="13" t="s">
        <v>29</v>
      </c>
      <c r="E13" s="13" t="s">
        <v>11</v>
      </c>
      <c r="F13" s="14" t="s">
        <v>30</v>
      </c>
    </row>
    <row r="15" spans="1:6">
      <c r="A15" s="46" t="s">
        <v>31</v>
      </c>
      <c r="B15" s="46"/>
      <c r="C15" s="46"/>
    </row>
    <row r="16" spans="1:6">
      <c r="A16" s="15" t="s">
        <v>3</v>
      </c>
      <c r="B16" s="16" t="s">
        <v>32</v>
      </c>
      <c r="C16" s="17" t="s">
        <v>33</v>
      </c>
    </row>
    <row r="17" spans="1:6">
      <c r="A17" s="18" t="s">
        <v>9</v>
      </c>
      <c r="B17">
        <f t="shared" ref="B17:B22" si="0">ROUND(B7*1.2,1)</f>
        <v>132</v>
      </c>
      <c r="C17" s="19">
        <f>ROUND(C7*1.15,0)</f>
        <v>296</v>
      </c>
    </row>
    <row r="18" spans="1:6">
      <c r="A18" s="18" t="s">
        <v>13</v>
      </c>
      <c r="B18">
        <f t="shared" si="0"/>
        <v>118.8</v>
      </c>
      <c r="C18" s="19">
        <f>ROUND(C8*1.15,0)</f>
        <v>296</v>
      </c>
    </row>
    <row r="19" spans="1:6">
      <c r="A19" s="18" t="s">
        <v>16</v>
      </c>
      <c r="B19">
        <f t="shared" si="0"/>
        <v>90</v>
      </c>
      <c r="C19" s="19" t="s">
        <v>28</v>
      </c>
    </row>
    <row r="20" spans="1:6">
      <c r="A20" s="18" t="s">
        <v>20</v>
      </c>
      <c r="B20">
        <f t="shared" si="0"/>
        <v>10.8</v>
      </c>
      <c r="C20" s="19">
        <f>ROUND(C10*1.15,0)</f>
        <v>296</v>
      </c>
    </row>
    <row r="21" spans="1:6">
      <c r="A21" s="18" t="s">
        <v>22</v>
      </c>
      <c r="B21">
        <f t="shared" si="0"/>
        <v>170.4</v>
      </c>
      <c r="C21" s="19">
        <f>ROUND(C11*1.15,0)</f>
        <v>296</v>
      </c>
    </row>
    <row r="22" spans="1:6">
      <c r="A22" s="20" t="s">
        <v>24</v>
      </c>
      <c r="B22" s="21">
        <f t="shared" si="0"/>
        <v>66</v>
      </c>
      <c r="C22" s="22">
        <f>ROUND(C12*1.15,0)</f>
        <v>296</v>
      </c>
    </row>
    <row r="24" spans="1:6" ht="14.5">
      <c r="A24" s="47" t="s">
        <v>162</v>
      </c>
      <c r="B24" s="47"/>
      <c r="C24" s="47"/>
      <c r="D24" s="47"/>
      <c r="E24" s="47"/>
      <c r="F24" s="47"/>
    </row>
  </sheetData>
  <mergeCells count="4">
    <mergeCell ref="A1:F1"/>
    <mergeCell ref="A2:F2"/>
    <mergeCell ref="A15:C15"/>
    <mergeCell ref="A24:F24"/>
  </mergeCells>
  <dataValidations count="1">
    <dataValidation sqref="B4" xr:uid="{00000000-0002-0000-0000-000000000000}">
      <formula1>0</formula1>
      <formula2>400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"/>
  <sheetViews>
    <sheetView workbookViewId="0"/>
  </sheetViews>
  <sheetFormatPr defaultRowHeight="14"/>
  <cols>
    <col min="1" max="1" width="14" customWidth="1"/>
    <col min="2" max="2" width="12" customWidth="1"/>
    <col min="3" max="3" width="14" customWidth="1"/>
    <col min="4" max="4" width="42" customWidth="1"/>
    <col min="6" max="6" width="24" customWidth="1"/>
    <col min="7" max="7" width="34" customWidth="1"/>
    <col min="8" max="8" width="16" customWidth="1"/>
    <col min="9" max="9" width="48" customWidth="1"/>
    <col min="11" max="11" width="11" customWidth="1"/>
    <col min="12" max="12" width="18" customWidth="1"/>
    <col min="13" max="13" width="17" customWidth="1"/>
    <col min="14" max="14" width="34" customWidth="1"/>
    <col min="15" max="15" width="12" customWidth="1"/>
    <col min="17" max="17" width="24" customWidth="1"/>
    <col min="18" max="18" width="14" customWidth="1"/>
    <col min="19" max="19" width="12" customWidth="1"/>
    <col min="20" max="20" width="42" customWidth="1"/>
  </cols>
  <sheetData>
    <row r="1" spans="1:20" ht="20">
      <c r="A1" s="48" t="s">
        <v>34</v>
      </c>
      <c r="B1" s="48"/>
      <c r="C1" s="48"/>
      <c r="D1" s="48"/>
    </row>
    <row r="2" spans="1:20" ht="14.5">
      <c r="A2" s="49" t="s">
        <v>35</v>
      </c>
      <c r="B2" s="49"/>
      <c r="C2" s="49"/>
      <c r="D2" s="49"/>
    </row>
    <row r="3" spans="1:20">
      <c r="K3" s="50" t="s">
        <v>36</v>
      </c>
      <c r="L3" s="50"/>
      <c r="M3" s="50"/>
      <c r="N3" s="50"/>
    </row>
    <row r="5" spans="1:20">
      <c r="A5" s="23" t="s">
        <v>37</v>
      </c>
      <c r="B5" s="24" t="s">
        <v>38</v>
      </c>
      <c r="C5" s="24" t="s">
        <v>39</v>
      </c>
      <c r="D5" s="25" t="s">
        <v>40</v>
      </c>
      <c r="F5" s="26" t="s">
        <v>3</v>
      </c>
      <c r="G5" s="27" t="s">
        <v>41</v>
      </c>
      <c r="H5" s="27" t="s">
        <v>7</v>
      </c>
      <c r="I5" s="28" t="s">
        <v>42</v>
      </c>
      <c r="K5" s="34" t="s">
        <v>43</v>
      </c>
      <c r="L5" s="34" t="s">
        <v>3</v>
      </c>
      <c r="M5" s="34" t="s">
        <v>44</v>
      </c>
      <c r="N5" s="34" t="s">
        <v>45</v>
      </c>
      <c r="Q5" s="38" t="s">
        <v>6</v>
      </c>
      <c r="R5" s="38" t="s">
        <v>46</v>
      </c>
      <c r="S5" s="38" t="s">
        <v>47</v>
      </c>
      <c r="T5" s="38" t="s">
        <v>48</v>
      </c>
    </row>
    <row r="6" spans="1:20" ht="56">
      <c r="A6" s="18">
        <v>0</v>
      </c>
      <c r="B6">
        <v>10</v>
      </c>
      <c r="C6" t="s">
        <v>49</v>
      </c>
      <c r="D6" s="19" t="s">
        <v>50</v>
      </c>
      <c r="F6" s="29" t="s">
        <v>51</v>
      </c>
      <c r="G6" s="5" t="s">
        <v>52</v>
      </c>
      <c r="H6" s="5" t="s">
        <v>14</v>
      </c>
      <c r="I6" s="30" t="s">
        <v>53</v>
      </c>
      <c r="K6">
        <v>275</v>
      </c>
      <c r="L6" t="s">
        <v>16</v>
      </c>
      <c r="M6">
        <v>56</v>
      </c>
      <c r="N6" t="s">
        <v>54</v>
      </c>
      <c r="Q6" s="5" t="s">
        <v>55</v>
      </c>
      <c r="R6" s="5" t="s">
        <v>56</v>
      </c>
      <c r="S6" s="5">
        <v>253</v>
      </c>
      <c r="T6" s="5" t="s">
        <v>57</v>
      </c>
    </row>
    <row r="7" spans="1:20" ht="42">
      <c r="A7" s="18">
        <v>25</v>
      </c>
      <c r="B7">
        <v>20</v>
      </c>
      <c r="C7" t="s">
        <v>58</v>
      </c>
      <c r="D7" s="19" t="s">
        <v>59</v>
      </c>
      <c r="F7" s="29" t="s">
        <v>60</v>
      </c>
      <c r="G7" s="5" t="s">
        <v>61</v>
      </c>
      <c r="H7" s="5" t="s">
        <v>14</v>
      </c>
      <c r="I7" s="30" t="s">
        <v>62</v>
      </c>
      <c r="K7">
        <v>275</v>
      </c>
      <c r="L7" t="s">
        <v>13</v>
      </c>
      <c r="M7">
        <v>68</v>
      </c>
      <c r="N7" t="s">
        <v>63</v>
      </c>
      <c r="Q7" s="5" t="s">
        <v>55</v>
      </c>
      <c r="R7" s="5" t="s">
        <v>64</v>
      </c>
      <c r="S7" s="5">
        <v>254</v>
      </c>
      <c r="T7" s="5" t="s">
        <v>65</v>
      </c>
    </row>
    <row r="8" spans="1:20" ht="42">
      <c r="A8" s="18">
        <v>68</v>
      </c>
      <c r="B8">
        <v>30</v>
      </c>
      <c r="C8" t="s">
        <v>49</v>
      </c>
      <c r="D8" s="19" t="s">
        <v>66</v>
      </c>
      <c r="F8" s="29" t="s">
        <v>67</v>
      </c>
      <c r="G8" s="5" t="s">
        <v>68</v>
      </c>
      <c r="H8" s="5" t="s">
        <v>14</v>
      </c>
      <c r="I8" s="30" t="s">
        <v>69</v>
      </c>
      <c r="K8">
        <v>275</v>
      </c>
      <c r="L8" t="s">
        <v>22</v>
      </c>
      <c r="M8">
        <v>97</v>
      </c>
      <c r="Q8" s="5" t="s">
        <v>55</v>
      </c>
      <c r="R8" s="5" t="s">
        <v>70</v>
      </c>
      <c r="S8" s="5">
        <v>255</v>
      </c>
      <c r="T8" s="5" t="s">
        <v>71</v>
      </c>
    </row>
    <row r="9" spans="1:20" ht="42">
      <c r="A9" s="18">
        <v>113</v>
      </c>
      <c r="B9">
        <v>40</v>
      </c>
      <c r="C9" t="s">
        <v>49</v>
      </c>
      <c r="D9" s="19" t="s">
        <v>72</v>
      </c>
      <c r="F9" s="29" t="s">
        <v>73</v>
      </c>
      <c r="G9" s="5" t="s">
        <v>74</v>
      </c>
      <c r="H9" s="5" t="s">
        <v>75</v>
      </c>
      <c r="I9" s="30" t="s">
        <v>76</v>
      </c>
      <c r="K9">
        <v>275</v>
      </c>
      <c r="L9" t="s">
        <v>24</v>
      </c>
      <c r="M9">
        <v>40</v>
      </c>
      <c r="Q9" s="5" t="s">
        <v>55</v>
      </c>
      <c r="R9" s="5" t="s">
        <v>77</v>
      </c>
      <c r="S9" s="5">
        <v>256</v>
      </c>
      <c r="T9" s="5" t="s">
        <v>78</v>
      </c>
    </row>
    <row r="10" spans="1:20" ht="28">
      <c r="A10" s="18">
        <v>300</v>
      </c>
      <c r="B10">
        <v>80</v>
      </c>
      <c r="C10" t="s">
        <v>58</v>
      </c>
      <c r="D10" s="19" t="s">
        <v>79</v>
      </c>
      <c r="F10" s="29" t="s">
        <v>80</v>
      </c>
      <c r="G10" s="5" t="s">
        <v>74</v>
      </c>
      <c r="H10" s="5" t="s">
        <v>75</v>
      </c>
      <c r="I10" s="30" t="s">
        <v>81</v>
      </c>
      <c r="K10">
        <v>300</v>
      </c>
      <c r="L10" t="s">
        <v>9</v>
      </c>
      <c r="M10">
        <v>80</v>
      </c>
      <c r="N10" t="s">
        <v>82</v>
      </c>
      <c r="Q10" s="5" t="s">
        <v>55</v>
      </c>
      <c r="R10" s="5" t="s">
        <v>83</v>
      </c>
      <c r="S10" s="5">
        <v>257</v>
      </c>
      <c r="T10" s="5" t="s">
        <v>84</v>
      </c>
    </row>
    <row r="11" spans="1:20" ht="56">
      <c r="A11" s="18">
        <v>350</v>
      </c>
      <c r="B11">
        <v>90</v>
      </c>
      <c r="C11" t="s">
        <v>58</v>
      </c>
      <c r="D11" s="19" t="s">
        <v>85</v>
      </c>
      <c r="F11" s="29" t="s">
        <v>86</v>
      </c>
      <c r="G11" s="5" t="s">
        <v>87</v>
      </c>
      <c r="H11" s="5" t="s">
        <v>14</v>
      </c>
      <c r="I11" s="30" t="s">
        <v>88</v>
      </c>
      <c r="K11">
        <v>300</v>
      </c>
      <c r="L11" t="s">
        <v>13</v>
      </c>
      <c r="M11">
        <v>73</v>
      </c>
      <c r="N11" t="s">
        <v>82</v>
      </c>
      <c r="Q11" s="5" t="s">
        <v>55</v>
      </c>
      <c r="R11" s="5" t="s">
        <v>89</v>
      </c>
      <c r="S11" s="5">
        <v>257</v>
      </c>
      <c r="T11" s="5" t="s">
        <v>90</v>
      </c>
    </row>
    <row r="12" spans="1:20" ht="42">
      <c r="A12" s="18">
        <v>378</v>
      </c>
      <c r="B12">
        <v>100</v>
      </c>
      <c r="C12" t="s">
        <v>91</v>
      </c>
      <c r="D12" s="19" t="s">
        <v>92</v>
      </c>
      <c r="F12" s="29" t="s">
        <v>93</v>
      </c>
      <c r="G12" s="5" t="s">
        <v>94</v>
      </c>
      <c r="H12" s="5" t="s">
        <v>75</v>
      </c>
      <c r="I12" s="30" t="s">
        <v>95</v>
      </c>
      <c r="K12">
        <v>300</v>
      </c>
      <c r="L12" t="s">
        <v>16</v>
      </c>
      <c r="M12">
        <v>59</v>
      </c>
      <c r="N12" t="s">
        <v>96</v>
      </c>
      <c r="Q12" s="5" t="s">
        <v>55</v>
      </c>
      <c r="R12" s="5" t="s">
        <v>97</v>
      </c>
      <c r="S12" s="5">
        <v>258</v>
      </c>
      <c r="T12" s="5" t="s">
        <v>98</v>
      </c>
    </row>
    <row r="13" spans="1:20" ht="28">
      <c r="A13" s="18">
        <v>423</v>
      </c>
      <c r="B13">
        <v>110</v>
      </c>
      <c r="C13" t="s">
        <v>91</v>
      </c>
      <c r="D13" s="19" t="s">
        <v>99</v>
      </c>
      <c r="F13" s="29" t="s">
        <v>100</v>
      </c>
      <c r="G13" s="5" t="s">
        <v>101</v>
      </c>
      <c r="H13" s="5" t="s">
        <v>102</v>
      </c>
      <c r="I13" s="30" t="s">
        <v>103</v>
      </c>
      <c r="K13">
        <v>300</v>
      </c>
      <c r="L13" t="s">
        <v>20</v>
      </c>
      <c r="M13">
        <v>6</v>
      </c>
      <c r="N13" t="s">
        <v>82</v>
      </c>
      <c r="Q13" s="5" t="s">
        <v>104</v>
      </c>
      <c r="R13" s="5" t="s">
        <v>105</v>
      </c>
      <c r="S13" s="5">
        <v>100</v>
      </c>
      <c r="T13" s="5" t="s">
        <v>106</v>
      </c>
    </row>
    <row r="14" spans="1:20">
      <c r="A14" s="18"/>
      <c r="D14" s="19"/>
      <c r="F14" s="31" t="s">
        <v>107</v>
      </c>
      <c r="G14" s="32" t="s">
        <v>108</v>
      </c>
      <c r="H14" s="32" t="s">
        <v>75</v>
      </c>
      <c r="I14" s="33" t="s">
        <v>109</v>
      </c>
      <c r="K14">
        <v>300</v>
      </c>
      <c r="L14" t="s">
        <v>22</v>
      </c>
      <c r="M14">
        <v>105</v>
      </c>
      <c r="N14" t="s">
        <v>82</v>
      </c>
      <c r="Q14" s="5" t="s">
        <v>104</v>
      </c>
      <c r="R14" s="5" t="s">
        <v>110</v>
      </c>
      <c r="S14" s="5">
        <v>100</v>
      </c>
      <c r="T14" s="5" t="s">
        <v>111</v>
      </c>
    </row>
    <row r="15" spans="1:20">
      <c r="A15" s="20"/>
      <c r="B15" s="21"/>
      <c r="C15" s="21"/>
      <c r="D15" s="22"/>
      <c r="K15">
        <v>300</v>
      </c>
      <c r="L15" t="s">
        <v>24</v>
      </c>
      <c r="M15">
        <v>45</v>
      </c>
      <c r="N15" t="s">
        <v>82</v>
      </c>
      <c r="Q15" s="5" t="s">
        <v>104</v>
      </c>
      <c r="R15" s="5" t="s">
        <v>112</v>
      </c>
      <c r="S15" s="5">
        <v>110</v>
      </c>
      <c r="T15" s="5" t="s">
        <v>113</v>
      </c>
    </row>
    <row r="16" spans="1:20">
      <c r="K16">
        <v>325</v>
      </c>
      <c r="L16" t="s">
        <v>9</v>
      </c>
      <c r="M16">
        <v>80</v>
      </c>
      <c r="Q16" s="5" t="s">
        <v>60</v>
      </c>
      <c r="R16" s="5" t="s">
        <v>114</v>
      </c>
      <c r="S16" s="5">
        <v>97</v>
      </c>
      <c r="T16" s="5" t="s">
        <v>115</v>
      </c>
    </row>
    <row r="17" spans="11:20">
      <c r="K17">
        <v>325</v>
      </c>
      <c r="L17" t="s">
        <v>16</v>
      </c>
      <c r="M17">
        <v>62</v>
      </c>
      <c r="N17" t="s">
        <v>116</v>
      </c>
      <c r="Q17" s="5" t="s">
        <v>60</v>
      </c>
      <c r="R17" s="5" t="s">
        <v>117</v>
      </c>
      <c r="S17" s="5">
        <v>98</v>
      </c>
      <c r="T17" s="5" t="s">
        <v>118</v>
      </c>
    </row>
    <row r="18" spans="11:20">
      <c r="K18">
        <v>325</v>
      </c>
      <c r="L18" t="s">
        <v>20</v>
      </c>
      <c r="M18">
        <v>7</v>
      </c>
      <c r="Q18" s="5" t="s">
        <v>60</v>
      </c>
      <c r="R18" s="5" t="s">
        <v>119</v>
      </c>
      <c r="S18" s="5">
        <v>99</v>
      </c>
      <c r="T18" s="5" t="s">
        <v>120</v>
      </c>
    </row>
    <row r="19" spans="11:20">
      <c r="K19">
        <v>350</v>
      </c>
      <c r="L19" t="s">
        <v>9</v>
      </c>
      <c r="M19">
        <v>90</v>
      </c>
      <c r="N19" t="s">
        <v>121</v>
      </c>
      <c r="Q19" s="5" t="s">
        <v>80</v>
      </c>
      <c r="R19" s="5" t="s">
        <v>114</v>
      </c>
      <c r="S19" s="5">
        <v>8</v>
      </c>
      <c r="T19" s="5" t="s">
        <v>115</v>
      </c>
    </row>
    <row r="20" spans="11:20">
      <c r="K20">
        <v>350</v>
      </c>
      <c r="L20" t="s">
        <v>13</v>
      </c>
      <c r="M20">
        <v>84</v>
      </c>
      <c r="N20" t="s">
        <v>121</v>
      </c>
      <c r="Q20" s="5" t="s">
        <v>80</v>
      </c>
      <c r="R20" s="5" t="s">
        <v>122</v>
      </c>
      <c r="S20" s="5">
        <v>9</v>
      </c>
      <c r="T20" s="5" t="s">
        <v>123</v>
      </c>
    </row>
    <row r="21" spans="11:20">
      <c r="K21">
        <v>350</v>
      </c>
      <c r="L21" t="s">
        <v>16</v>
      </c>
      <c r="M21">
        <v>66</v>
      </c>
      <c r="N21" t="s">
        <v>116</v>
      </c>
      <c r="Q21" s="5" t="s">
        <v>80</v>
      </c>
      <c r="R21" s="5" t="s">
        <v>97</v>
      </c>
      <c r="S21" s="5">
        <v>9</v>
      </c>
      <c r="T21" s="5" t="s">
        <v>124</v>
      </c>
    </row>
    <row r="22" spans="11:20">
      <c r="K22" s="35" t="s">
        <v>125</v>
      </c>
      <c r="L22" s="35" t="s">
        <v>4</v>
      </c>
      <c r="M22">
        <v>7</v>
      </c>
      <c r="N22" s="36" t="s">
        <v>126</v>
      </c>
      <c r="O22" s="36" t="s">
        <v>127</v>
      </c>
      <c r="Q22" s="5" t="s">
        <v>86</v>
      </c>
      <c r="R22" s="5" t="s">
        <v>56</v>
      </c>
      <c r="S22" s="5">
        <v>138</v>
      </c>
      <c r="T22" s="5" t="s">
        <v>57</v>
      </c>
    </row>
    <row r="23" spans="11:20">
      <c r="K23">
        <v>0</v>
      </c>
      <c r="M23">
        <v>120</v>
      </c>
      <c r="N23">
        <v>0</v>
      </c>
      <c r="Q23" s="5" t="s">
        <v>86</v>
      </c>
      <c r="R23" s="5" t="s">
        <v>128</v>
      </c>
      <c r="S23" s="5">
        <v>139</v>
      </c>
      <c r="T23" s="5" t="s">
        <v>129</v>
      </c>
    </row>
    <row r="24" spans="11:20">
      <c r="K24">
        <v>300</v>
      </c>
      <c r="L24">
        <v>6</v>
      </c>
      <c r="M24">
        <v>50</v>
      </c>
      <c r="N24">
        <v>360</v>
      </c>
      <c r="O24">
        <v>27</v>
      </c>
      <c r="Q24" s="5" t="s">
        <v>86</v>
      </c>
      <c r="R24" s="5" t="s">
        <v>130</v>
      </c>
      <c r="S24" s="5">
        <v>140</v>
      </c>
      <c r="T24" s="5" t="s">
        <v>131</v>
      </c>
    </row>
    <row r="25" spans="11:20">
      <c r="K25">
        <v>325</v>
      </c>
      <c r="L25">
        <v>7</v>
      </c>
      <c r="M25">
        <v>90</v>
      </c>
      <c r="N25">
        <v>365</v>
      </c>
      <c r="O25">
        <v>28</v>
      </c>
      <c r="Q25" s="5" t="s">
        <v>86</v>
      </c>
      <c r="R25" s="5" t="s">
        <v>117</v>
      </c>
      <c r="S25" s="5">
        <v>141</v>
      </c>
      <c r="T25" s="5" t="s">
        <v>132</v>
      </c>
    </row>
    <row r="26" spans="11:20">
      <c r="K26">
        <v>365</v>
      </c>
      <c r="L26">
        <v>8</v>
      </c>
      <c r="M26">
        <v>86</v>
      </c>
      <c r="N26">
        <v>378</v>
      </c>
      <c r="O26">
        <v>29</v>
      </c>
      <c r="Q26" s="5" t="s">
        <v>86</v>
      </c>
      <c r="R26" s="5" t="s">
        <v>133</v>
      </c>
      <c r="S26" s="5">
        <v>142</v>
      </c>
      <c r="T26" s="5" t="s">
        <v>134</v>
      </c>
    </row>
    <row r="27" spans="11:20">
      <c r="K27">
        <v>419</v>
      </c>
      <c r="L27">
        <v>9</v>
      </c>
      <c r="M27">
        <v>67</v>
      </c>
      <c r="N27">
        <v>400</v>
      </c>
      <c r="O27">
        <v>30</v>
      </c>
      <c r="Q27" s="5" t="s">
        <v>86</v>
      </c>
      <c r="R27" s="5" t="s">
        <v>97</v>
      </c>
      <c r="S27" s="5">
        <v>143</v>
      </c>
      <c r="T27" s="5" t="s">
        <v>98</v>
      </c>
    </row>
    <row r="28" spans="11:20">
      <c r="K28">
        <v>360</v>
      </c>
      <c r="L28" t="s">
        <v>27</v>
      </c>
      <c r="M28">
        <v>27</v>
      </c>
      <c r="N28" t="s">
        <v>135</v>
      </c>
      <c r="Q28" s="5" t="s">
        <v>93</v>
      </c>
      <c r="R28" s="5" t="s">
        <v>105</v>
      </c>
      <c r="S28" s="5">
        <v>55</v>
      </c>
      <c r="T28" s="5" t="s">
        <v>136</v>
      </c>
    </row>
    <row r="29" spans="11:20">
      <c r="K29">
        <v>360</v>
      </c>
      <c r="L29" t="s">
        <v>20</v>
      </c>
      <c r="M29">
        <v>7</v>
      </c>
      <c r="N29" t="s">
        <v>137</v>
      </c>
      <c r="Q29" s="39" t="s">
        <v>93</v>
      </c>
      <c r="R29" s="39" t="s">
        <v>97</v>
      </c>
      <c r="S29" s="39">
        <v>160</v>
      </c>
      <c r="T29" s="39" t="s">
        <v>138</v>
      </c>
    </row>
    <row r="30" spans="11:20">
      <c r="K30">
        <v>360</v>
      </c>
      <c r="L30" t="s">
        <v>22</v>
      </c>
      <c r="M30">
        <v>123</v>
      </c>
      <c r="N30" t="s">
        <v>139</v>
      </c>
    </row>
    <row r="31" spans="11:20">
      <c r="K31">
        <v>360</v>
      </c>
      <c r="L31" t="s">
        <v>24</v>
      </c>
      <c r="M31">
        <v>50</v>
      </c>
      <c r="Q31" s="40" t="s">
        <v>104</v>
      </c>
      <c r="R31" s="40" t="s">
        <v>140</v>
      </c>
      <c r="S31" s="40">
        <v>110</v>
      </c>
      <c r="T31" s="40" t="s">
        <v>141</v>
      </c>
    </row>
    <row r="32" spans="11:20">
      <c r="K32">
        <v>364</v>
      </c>
      <c r="L32" t="s">
        <v>13</v>
      </c>
      <c r="M32">
        <v>86</v>
      </c>
      <c r="N32" t="s">
        <v>142</v>
      </c>
    </row>
    <row r="33" spans="11:14">
      <c r="K33">
        <v>364</v>
      </c>
      <c r="L33" t="s">
        <v>16</v>
      </c>
      <c r="M33">
        <v>67</v>
      </c>
      <c r="N33" t="s">
        <v>143</v>
      </c>
    </row>
    <row r="34" spans="11:14">
      <c r="K34">
        <v>364</v>
      </c>
      <c r="L34" t="s">
        <v>22</v>
      </c>
      <c r="M34">
        <v>124</v>
      </c>
      <c r="N34" t="s">
        <v>142</v>
      </c>
    </row>
    <row r="35" spans="11:14">
      <c r="K35">
        <v>364</v>
      </c>
      <c r="L35" t="s">
        <v>24</v>
      </c>
      <c r="M35">
        <v>50</v>
      </c>
    </row>
    <row r="36" spans="11:14">
      <c r="K36">
        <v>365</v>
      </c>
      <c r="L36" t="s">
        <v>16</v>
      </c>
      <c r="M36">
        <v>67</v>
      </c>
      <c r="N36" t="s">
        <v>143</v>
      </c>
    </row>
    <row r="37" spans="11:14">
      <c r="K37">
        <v>365</v>
      </c>
      <c r="L37" t="s">
        <v>27</v>
      </c>
      <c r="M37">
        <v>28</v>
      </c>
      <c r="N37" t="s">
        <v>127</v>
      </c>
    </row>
    <row r="38" spans="11:14">
      <c r="K38">
        <v>365</v>
      </c>
      <c r="L38" t="s">
        <v>20</v>
      </c>
      <c r="M38">
        <v>8</v>
      </c>
    </row>
    <row r="39" spans="11:14">
      <c r="K39">
        <v>374</v>
      </c>
      <c r="L39" t="s">
        <v>9</v>
      </c>
      <c r="M39">
        <v>90</v>
      </c>
      <c r="N39" t="s">
        <v>144</v>
      </c>
    </row>
    <row r="40" spans="11:14">
      <c r="K40">
        <v>374</v>
      </c>
      <c r="L40" t="s">
        <v>16</v>
      </c>
      <c r="M40">
        <v>69</v>
      </c>
      <c r="N40" t="s">
        <v>143</v>
      </c>
    </row>
    <row r="41" spans="11:14">
      <c r="K41">
        <v>374</v>
      </c>
      <c r="L41" t="s">
        <v>27</v>
      </c>
      <c r="M41">
        <v>28</v>
      </c>
      <c r="N41" t="s">
        <v>127</v>
      </c>
    </row>
    <row r="42" spans="11:14">
      <c r="K42">
        <v>375</v>
      </c>
      <c r="L42" t="s">
        <v>9</v>
      </c>
      <c r="M42">
        <v>90</v>
      </c>
    </row>
    <row r="43" spans="11:14">
      <c r="K43">
        <v>375</v>
      </c>
      <c r="L43" t="s">
        <v>16</v>
      </c>
      <c r="M43">
        <v>69</v>
      </c>
      <c r="N43" t="s">
        <v>143</v>
      </c>
    </row>
    <row r="44" spans="11:14">
      <c r="K44">
        <v>375</v>
      </c>
      <c r="L44" t="s">
        <v>27</v>
      </c>
      <c r="M44">
        <v>28</v>
      </c>
      <c r="N44" t="s">
        <v>127</v>
      </c>
    </row>
    <row r="45" spans="11:14">
      <c r="K45">
        <v>375</v>
      </c>
      <c r="L45" t="s">
        <v>20</v>
      </c>
      <c r="M45">
        <v>8</v>
      </c>
    </row>
    <row r="46" spans="11:14">
      <c r="K46">
        <v>376</v>
      </c>
      <c r="L46" t="s">
        <v>9</v>
      </c>
      <c r="M46">
        <v>90</v>
      </c>
      <c r="N46" t="s">
        <v>145</v>
      </c>
    </row>
    <row r="47" spans="11:14">
      <c r="K47">
        <v>377</v>
      </c>
      <c r="L47" t="s">
        <v>9</v>
      </c>
      <c r="M47">
        <v>90</v>
      </c>
      <c r="N47" t="s">
        <v>145</v>
      </c>
    </row>
    <row r="48" spans="11:14">
      <c r="K48">
        <v>378</v>
      </c>
      <c r="L48" t="s">
        <v>9</v>
      </c>
      <c r="M48">
        <v>100</v>
      </c>
    </row>
    <row r="49" spans="11:14">
      <c r="K49">
        <v>378</v>
      </c>
      <c r="L49" t="s">
        <v>27</v>
      </c>
      <c r="M49">
        <v>29</v>
      </c>
      <c r="N49" t="s">
        <v>127</v>
      </c>
    </row>
    <row r="50" spans="11:14">
      <c r="K50">
        <v>378</v>
      </c>
      <c r="L50" t="s">
        <v>20</v>
      </c>
      <c r="M50">
        <v>8</v>
      </c>
    </row>
    <row r="51" spans="11:14">
      <c r="K51">
        <v>379</v>
      </c>
      <c r="L51" t="s">
        <v>27</v>
      </c>
      <c r="M51">
        <v>29</v>
      </c>
      <c r="N51" t="s">
        <v>127</v>
      </c>
    </row>
    <row r="52" spans="11:14">
      <c r="K52">
        <v>385</v>
      </c>
      <c r="L52" t="s">
        <v>9</v>
      </c>
      <c r="M52">
        <v>100</v>
      </c>
      <c r="N52" t="s">
        <v>146</v>
      </c>
    </row>
    <row r="53" spans="11:14">
      <c r="K53">
        <v>385</v>
      </c>
      <c r="L53" t="s">
        <v>13</v>
      </c>
      <c r="M53">
        <v>91</v>
      </c>
      <c r="N53" t="s">
        <v>146</v>
      </c>
    </row>
    <row r="54" spans="11:14">
      <c r="K54">
        <v>385</v>
      </c>
      <c r="L54" t="s">
        <v>16</v>
      </c>
      <c r="M54">
        <v>70</v>
      </c>
      <c r="N54" t="s">
        <v>147</v>
      </c>
    </row>
    <row r="55" spans="11:14">
      <c r="K55">
        <v>385</v>
      </c>
      <c r="L55" t="s">
        <v>20</v>
      </c>
      <c r="M55">
        <v>8</v>
      </c>
      <c r="N55" t="s">
        <v>148</v>
      </c>
    </row>
    <row r="56" spans="11:14">
      <c r="K56">
        <v>385</v>
      </c>
      <c r="L56" t="s">
        <v>22</v>
      </c>
      <c r="M56">
        <v>131</v>
      </c>
      <c r="N56" t="s">
        <v>146</v>
      </c>
    </row>
    <row r="57" spans="11:14">
      <c r="K57">
        <v>385</v>
      </c>
      <c r="L57" t="s">
        <v>24</v>
      </c>
      <c r="M57">
        <v>55</v>
      </c>
      <c r="N57" t="s">
        <v>146</v>
      </c>
    </row>
    <row r="58" spans="11:14">
      <c r="K58">
        <v>385</v>
      </c>
      <c r="L58" t="s">
        <v>27</v>
      </c>
      <c r="M58">
        <v>29</v>
      </c>
      <c r="N58" t="s">
        <v>135</v>
      </c>
    </row>
    <row r="59" spans="11:14">
      <c r="K59">
        <v>390</v>
      </c>
      <c r="L59" t="s">
        <v>13</v>
      </c>
      <c r="M59">
        <v>92</v>
      </c>
      <c r="N59" t="s">
        <v>149</v>
      </c>
    </row>
    <row r="60" spans="11:14">
      <c r="K60">
        <v>390</v>
      </c>
      <c r="L60" t="s">
        <v>16</v>
      </c>
      <c r="M60">
        <v>71</v>
      </c>
      <c r="N60" t="s">
        <v>147</v>
      </c>
    </row>
    <row r="61" spans="11:14">
      <c r="K61">
        <v>390</v>
      </c>
      <c r="L61" t="s">
        <v>20</v>
      </c>
      <c r="M61">
        <v>8</v>
      </c>
      <c r="N61" t="s">
        <v>150</v>
      </c>
    </row>
    <row r="62" spans="11:14">
      <c r="K62">
        <v>390</v>
      </c>
      <c r="L62" t="s">
        <v>22</v>
      </c>
      <c r="M62">
        <v>132</v>
      </c>
      <c r="N62" t="s">
        <v>149</v>
      </c>
    </row>
    <row r="63" spans="11:14">
      <c r="K63">
        <v>390</v>
      </c>
      <c r="L63" t="s">
        <v>24</v>
      </c>
      <c r="M63">
        <v>55</v>
      </c>
      <c r="N63" t="s">
        <v>149</v>
      </c>
    </row>
    <row r="64" spans="11:14">
      <c r="K64">
        <v>400</v>
      </c>
      <c r="L64" t="s">
        <v>9</v>
      </c>
      <c r="M64">
        <v>100</v>
      </c>
      <c r="N64" t="s">
        <v>151</v>
      </c>
    </row>
    <row r="65" spans="11:14">
      <c r="K65">
        <v>400</v>
      </c>
      <c r="L65" t="s">
        <v>13</v>
      </c>
      <c r="M65">
        <v>94</v>
      </c>
    </row>
    <row r="66" spans="11:14">
      <c r="K66">
        <v>400</v>
      </c>
      <c r="L66" t="s">
        <v>16</v>
      </c>
      <c r="M66">
        <v>72</v>
      </c>
      <c r="N66" t="s">
        <v>147</v>
      </c>
    </row>
    <row r="67" spans="11:14">
      <c r="K67">
        <v>400</v>
      </c>
      <c r="L67" t="s">
        <v>20</v>
      </c>
      <c r="M67">
        <v>8</v>
      </c>
      <c r="N67" t="s">
        <v>148</v>
      </c>
    </row>
    <row r="68" spans="11:14">
      <c r="K68">
        <v>400</v>
      </c>
      <c r="L68" t="s">
        <v>27</v>
      </c>
      <c r="M68">
        <v>30</v>
      </c>
      <c r="N68" t="s">
        <v>152</v>
      </c>
    </row>
    <row r="69" spans="11:14">
      <c r="K69">
        <v>400</v>
      </c>
      <c r="L69" t="s">
        <v>22</v>
      </c>
      <c r="M69">
        <v>135</v>
      </c>
    </row>
    <row r="70" spans="11:14">
      <c r="K70">
        <v>400</v>
      </c>
      <c r="L70" t="s">
        <v>24</v>
      </c>
      <c r="M70">
        <v>55</v>
      </c>
    </row>
    <row r="71" spans="11:14">
      <c r="K71">
        <v>411</v>
      </c>
      <c r="L71" t="s">
        <v>9</v>
      </c>
      <c r="M71">
        <v>100</v>
      </c>
      <c r="N71" t="s">
        <v>153</v>
      </c>
    </row>
    <row r="72" spans="11:14">
      <c r="K72">
        <v>411</v>
      </c>
      <c r="L72" t="s">
        <v>13</v>
      </c>
      <c r="M72">
        <v>96</v>
      </c>
    </row>
    <row r="73" spans="11:14">
      <c r="K73">
        <v>411</v>
      </c>
      <c r="L73" t="s">
        <v>16</v>
      </c>
      <c r="M73">
        <v>71</v>
      </c>
      <c r="N73" t="s">
        <v>154</v>
      </c>
    </row>
    <row r="74" spans="11:14">
      <c r="K74">
        <v>411</v>
      </c>
      <c r="L74" t="s">
        <v>22</v>
      </c>
      <c r="M74">
        <v>138</v>
      </c>
    </row>
    <row r="75" spans="11:14">
      <c r="K75">
        <v>411</v>
      </c>
      <c r="L75" t="s">
        <v>24</v>
      </c>
      <c r="M75">
        <v>55</v>
      </c>
    </row>
    <row r="76" spans="11:14">
      <c r="K76">
        <v>412</v>
      </c>
      <c r="L76" t="s">
        <v>9</v>
      </c>
      <c r="M76">
        <v>100</v>
      </c>
      <c r="N76" t="s">
        <v>155</v>
      </c>
    </row>
    <row r="77" spans="11:14">
      <c r="K77">
        <v>412</v>
      </c>
      <c r="L77" t="s">
        <v>16</v>
      </c>
      <c r="M77">
        <v>74</v>
      </c>
      <c r="N77" t="s">
        <v>147</v>
      </c>
    </row>
    <row r="78" spans="11:14">
      <c r="K78">
        <v>412</v>
      </c>
      <c r="L78" t="s">
        <v>13</v>
      </c>
      <c r="M78">
        <v>97</v>
      </c>
    </row>
    <row r="79" spans="11:14">
      <c r="K79">
        <v>412</v>
      </c>
      <c r="L79" t="s">
        <v>20</v>
      </c>
      <c r="M79">
        <v>8</v>
      </c>
    </row>
    <row r="80" spans="11:14">
      <c r="K80">
        <v>412</v>
      </c>
      <c r="L80" t="s">
        <v>22</v>
      </c>
      <c r="M80">
        <v>139</v>
      </c>
    </row>
    <row r="81" spans="11:14">
      <c r="K81">
        <v>412</v>
      </c>
      <c r="L81" t="s">
        <v>24</v>
      </c>
      <c r="M81">
        <v>55</v>
      </c>
    </row>
    <row r="82" spans="11:14">
      <c r="K82">
        <v>413</v>
      </c>
      <c r="L82" t="s">
        <v>9</v>
      </c>
      <c r="M82">
        <v>100</v>
      </c>
      <c r="N82" t="s">
        <v>155</v>
      </c>
    </row>
    <row r="83" spans="11:14">
      <c r="K83">
        <v>413</v>
      </c>
      <c r="L83" t="s">
        <v>16</v>
      </c>
      <c r="M83">
        <v>74</v>
      </c>
      <c r="N83" t="s">
        <v>147</v>
      </c>
    </row>
    <row r="84" spans="11:14">
      <c r="K84">
        <v>413</v>
      </c>
      <c r="L84" t="s">
        <v>13</v>
      </c>
      <c r="M84">
        <v>97</v>
      </c>
    </row>
    <row r="85" spans="11:14">
      <c r="K85">
        <v>413</v>
      </c>
      <c r="L85" t="s">
        <v>20</v>
      </c>
      <c r="M85">
        <v>8</v>
      </c>
    </row>
    <row r="86" spans="11:14">
      <c r="K86">
        <v>413</v>
      </c>
      <c r="L86" t="s">
        <v>22</v>
      </c>
      <c r="M86">
        <v>139</v>
      </c>
    </row>
    <row r="87" spans="11:14">
      <c r="K87">
        <v>413</v>
      </c>
      <c r="L87" t="s">
        <v>24</v>
      </c>
      <c r="M87">
        <v>55</v>
      </c>
    </row>
    <row r="88" spans="11:14">
      <c r="K88">
        <v>415</v>
      </c>
      <c r="L88" t="s">
        <v>9</v>
      </c>
      <c r="M88">
        <v>100</v>
      </c>
      <c r="N88" t="s">
        <v>156</v>
      </c>
    </row>
    <row r="89" spans="11:14">
      <c r="K89">
        <v>415</v>
      </c>
      <c r="L89" t="s">
        <v>16</v>
      </c>
      <c r="M89">
        <v>74</v>
      </c>
    </row>
    <row r="90" spans="11:14">
      <c r="K90">
        <v>415</v>
      </c>
      <c r="L90" t="s">
        <v>13</v>
      </c>
      <c r="M90">
        <v>97</v>
      </c>
    </row>
    <row r="91" spans="11:14">
      <c r="K91">
        <v>415</v>
      </c>
      <c r="L91" t="s">
        <v>20</v>
      </c>
      <c r="M91">
        <v>8</v>
      </c>
    </row>
    <row r="92" spans="11:14">
      <c r="K92">
        <v>415</v>
      </c>
      <c r="L92" t="s">
        <v>22</v>
      </c>
      <c r="M92">
        <v>140</v>
      </c>
    </row>
    <row r="93" spans="11:14">
      <c r="K93">
        <v>415</v>
      </c>
      <c r="L93" t="s">
        <v>24</v>
      </c>
      <c r="M93">
        <v>55</v>
      </c>
    </row>
    <row r="94" spans="11:14">
      <c r="K94">
        <v>419</v>
      </c>
      <c r="L94" t="s">
        <v>13</v>
      </c>
      <c r="M94">
        <v>98</v>
      </c>
      <c r="N94" t="s">
        <v>157</v>
      </c>
    </row>
    <row r="95" spans="11:14">
      <c r="K95">
        <v>419</v>
      </c>
      <c r="L95" t="s">
        <v>16</v>
      </c>
      <c r="N95" t="s">
        <v>158</v>
      </c>
    </row>
    <row r="96" spans="11:14">
      <c r="K96">
        <v>419</v>
      </c>
      <c r="L96" t="s">
        <v>20</v>
      </c>
      <c r="M96">
        <v>9</v>
      </c>
    </row>
    <row r="97" spans="11:14">
      <c r="K97">
        <v>419</v>
      </c>
      <c r="L97" t="s">
        <v>22</v>
      </c>
      <c r="M97">
        <v>141</v>
      </c>
    </row>
    <row r="98" spans="11:14">
      <c r="K98">
        <v>419</v>
      </c>
      <c r="L98" t="s">
        <v>24</v>
      </c>
      <c r="M98">
        <v>55</v>
      </c>
    </row>
    <row r="99" spans="11:14">
      <c r="K99">
        <v>420</v>
      </c>
      <c r="L99" t="s">
        <v>9</v>
      </c>
      <c r="M99">
        <v>100</v>
      </c>
      <c r="N99" t="s">
        <v>157</v>
      </c>
    </row>
    <row r="100" spans="11:14">
      <c r="K100">
        <v>420</v>
      </c>
      <c r="L100" t="s">
        <v>16</v>
      </c>
      <c r="M100">
        <v>75</v>
      </c>
    </row>
    <row r="101" spans="11:14">
      <c r="K101">
        <v>422</v>
      </c>
      <c r="L101" t="s">
        <v>13</v>
      </c>
      <c r="M101">
        <v>99</v>
      </c>
      <c r="N101" t="s">
        <v>159</v>
      </c>
    </row>
    <row r="102" spans="11:14">
      <c r="K102">
        <v>422</v>
      </c>
      <c r="L102" t="s">
        <v>22</v>
      </c>
      <c r="M102">
        <v>142</v>
      </c>
    </row>
    <row r="103" spans="11:14">
      <c r="K103">
        <v>422</v>
      </c>
      <c r="L103" t="s">
        <v>24</v>
      </c>
      <c r="M103">
        <v>55</v>
      </c>
    </row>
    <row r="104" spans="11:14">
      <c r="K104">
        <v>425</v>
      </c>
      <c r="L104" t="s">
        <v>9</v>
      </c>
      <c r="M104">
        <v>110</v>
      </c>
      <c r="N104" t="s">
        <v>160</v>
      </c>
    </row>
    <row r="105" spans="11:14">
      <c r="K105">
        <v>425</v>
      </c>
      <c r="L105" t="s">
        <v>16</v>
      </c>
      <c r="M105">
        <v>75</v>
      </c>
    </row>
    <row r="106" spans="11:14">
      <c r="K106">
        <v>425</v>
      </c>
      <c r="L106" t="s">
        <v>13</v>
      </c>
      <c r="M106">
        <v>99</v>
      </c>
    </row>
    <row r="107" spans="11:14">
      <c r="K107">
        <v>425</v>
      </c>
      <c r="L107" t="s">
        <v>20</v>
      </c>
      <c r="M107">
        <v>9</v>
      </c>
    </row>
    <row r="108" spans="11:14">
      <c r="K108">
        <v>425</v>
      </c>
      <c r="L108" t="s">
        <v>22</v>
      </c>
      <c r="M108">
        <v>143</v>
      </c>
    </row>
    <row r="109" spans="11:14">
      <c r="K109" s="37">
        <v>425</v>
      </c>
      <c r="L109" s="37" t="s">
        <v>24</v>
      </c>
      <c r="M109" s="37">
        <v>160</v>
      </c>
      <c r="N109" s="37" t="s">
        <v>161</v>
      </c>
    </row>
  </sheetData>
  <mergeCells count="3">
    <mergeCell ref="A1:D1"/>
    <mergeCell ref="A2:D2"/>
    <mergeCell ref="K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Abiona</cp:lastModifiedBy>
  <dcterms:modified xsi:type="dcterms:W3CDTF">2026-08-21T22:47:59Z</dcterms:modified>
</cp:coreProperties>
</file>